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80" activeTab="2"/>
  </bookViews>
  <sheets>
    <sheet name="知识点分布总览" sheetId="1" r:id="rId1"/>
    <sheet name="分类汇总" sheetId="2" r:id="rId2"/>
    <sheet name="知识点分布饼图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<sst xmlns="http://schemas.openxmlformats.org/spreadsheetml/2006/main" count="228" uniqueCount="147">
  <si>
    <t>分类</t>
  </si>
  <si>
    <t>知识域编号</t>
  </si>
  <si>
    <t>知识域(中文)</t>
  </si>
  <si>
    <t>知识域(英文)</t>
  </si>
  <si>
    <t>文档数量</t>
  </si>
  <si>
    <t>占比(%)</t>
  </si>
  <si>
    <t>核心知识点</t>
  </si>
  <si>
    <t>核心知识域</t>
  </si>
  <si>
    <t>域1</t>
  </si>
  <si>
    <t>架构基础</t>
  </si>
  <si>
    <t>Architecture Fundamentals</t>
  </si>
  <si>
    <t>K8s架构、核心组件、API版本、kubectl、集群配置、升级策略、多租户、边缘计算、性能调优、安全架构</t>
  </si>
  <si>
    <t>域2</t>
  </si>
  <si>
    <t>设计原理</t>
  </si>
  <si>
    <t>Design Principles</t>
  </si>
  <si>
    <t>声明式API、控制器模式、Watch/List、Informer、乐观并发、etcd共识、HA模式、Operator、准入控制、混沌工程</t>
  </si>
  <si>
    <t>域3</t>
  </si>
  <si>
    <t>控制平面</t>
  </si>
  <si>
    <t>Control Plane</t>
  </si>
  <si>
    <t>API Server、etcd、Scheduler、Controller Manager、kubelet、kube-proxy、容器运行时、容器网络、认证授权</t>
  </si>
  <si>
    <t>域4</t>
  </si>
  <si>
    <t>工作负载与调度</t>
  </si>
  <si>
    <t>Workloads &amp; Scheduling</t>
  </si>
  <si>
    <t>Deployment、StatefulSet、DaemonSet、Job/CronJob、Pod生命周期、Sidecar、HPA/VPA、资源管理、调度配置</t>
  </si>
  <si>
    <t>域5</t>
  </si>
  <si>
    <t>网络</t>
  </si>
  <si>
    <t>Networking</t>
  </si>
  <si>
    <t>CNI架构、Flannel、Terway、Service、kube-proxy、CoreDNS、NetworkPolicy、Ingress、Gateway API、服务网格</t>
  </si>
  <si>
    <t>域6</t>
  </si>
  <si>
    <t>存储</t>
  </si>
  <si>
    <t>Storage</t>
  </si>
  <si>
    <t>PV/PVC、StorageClass、CSI驱动、存储性能、备份恢复、云原生存储、存储安全合规</t>
  </si>
  <si>
    <t>域7</t>
  </si>
  <si>
    <t>安全合规</t>
  </si>
  <si>
    <t>Security &amp; Compliance</t>
  </si>
  <si>
    <t>RBAC、NetworkPolicy、运行时安全、审计日志、Pod安全标准、证书管理、Secret管理、零信任架构、事件响应</t>
  </si>
  <si>
    <t>域8</t>
  </si>
  <si>
    <t>可观测性</t>
  </si>
  <si>
    <t>Observability</t>
  </si>
  <si>
    <t>Prometheus、日志架构、分布式追踪、告警管理、Dashboard、SLO/SLI、混沌工程、企业级监控、性能剖析</t>
  </si>
  <si>
    <t>域9</t>
  </si>
  <si>
    <t>平台运维</t>
  </si>
  <si>
    <t>Platform Operations</t>
  </si>
  <si>
    <t>集群生命周期、容量规划、FinOps成本优化、GitOps、多集群管理、灾备恢复、CRD/Operator开发、虚拟集群</t>
  </si>
  <si>
    <t>域10</t>
  </si>
  <si>
    <t>扩展生态</t>
  </si>
  <si>
    <t>Extensions &amp; Ecosystem</t>
  </si>
  <si>
    <t>CRD开发、Operator模式、Admission Webhook、Helm、CI/CD、GitOps/ArgoCD、服务网格、多集群管理</t>
  </si>
  <si>
    <t>域11</t>
  </si>
  <si>
    <t>AI基础设施</t>
  </si>
  <si>
    <t>AI Infrastructure</t>
  </si>
  <si>
    <t>GPU调度、分布式训练、模型部署、LLM推理、向量数据库/RAG、模型量化、MLOps、联邦学习、AI成本优化</t>
  </si>
  <si>
    <t>域12</t>
  </si>
  <si>
    <t>故障排查</t>
  </si>
  <si>
    <t>Troubleshooting</t>
  </si>
  <si>
    <t>控制平面排障、网络/CNI排障、存储/CSI排障、Pod/Node诊断、OOM分析、证书排障、大规模集群运维、混沌工程</t>
  </si>
  <si>
    <t>底层基础知识域</t>
  </si>
  <si>
    <t>域13</t>
  </si>
  <si>
    <t>Docker基础</t>
  </si>
  <si>
    <t>Docker Fundamentals</t>
  </si>
  <si>
    <t>Docker架构、镜像管理、容器生命周期、Docker网络、存储卷、Compose编排、安全最佳实践、性能监控</t>
  </si>
  <si>
    <t>域14</t>
  </si>
  <si>
    <t>Linux基础</t>
  </si>
  <si>
    <t>Linux Fundamentals</t>
  </si>
  <si>
    <t>系统架构、进程管理、文件系统、网络配置、存储管理、性能调优、安全加固、容器基础</t>
  </si>
  <si>
    <t>域15</t>
  </si>
  <si>
    <t>网络基础</t>
  </si>
  <si>
    <t>Network Fundamentals</t>
  </si>
  <si>
    <t>网络协议栈、TCP/UDP、DNS原理、负载均衡、网络安全、SDN/网络虚拟化</t>
  </si>
  <si>
    <t>域16</t>
  </si>
  <si>
    <t>存储基础</t>
  </si>
  <si>
    <t>Storage Fundamentals</t>
  </si>
  <si>
    <t>存储技术总览、块/文件/对象存储、RAID、分布式存储、存储管理运维、IOPS性能</t>
  </si>
  <si>
    <t>域17</t>
  </si>
  <si>
    <t>云厂商K8s服务</t>
  </si>
  <si>
    <t>Cloud Provider K8s</t>
  </si>
  <si>
    <t>AWS EKS、GCP GKE、Azure AKS、阿里云ACK、腾讯TKE、华为CCE、火山引擎VEK、IBM IKS、Oracle OKE</t>
  </si>
  <si>
    <t>企业级运维专题</t>
  </si>
  <si>
    <t>域18</t>
  </si>
  <si>
    <t>生产运维实践</t>
  </si>
  <si>
    <t>Production Operations</t>
  </si>
  <si>
    <t>生产架构设计、多云部署、监控体系、日志分析、APM、零信任安全、GitOps流水线、成本治理、灾备演练</t>
  </si>
  <si>
    <t>域19</t>
  </si>
  <si>
    <t>技术白皮书</t>
  </si>
  <si>
    <t>Technical Papers</t>
  </si>
  <si>
    <t>生产就绪评估、大规模性能优化、零信任安全、多云部署、FinOps实践、Service Mesh、混沌工程</t>
  </si>
  <si>
    <t>域20</t>
  </si>
  <si>
    <t>企业监控告警</t>
  </si>
  <si>
    <t>Enterprise Monitoring</t>
  </si>
  <si>
    <t>Prometheus企业版、Grafana、OpenTelemetry、Thanos、Datadog、Elastic Stack、Zabbix、New Relic</t>
  </si>
  <si>
    <t>域21</t>
  </si>
  <si>
    <t>日志管理分析</t>
  </si>
  <si>
    <t>Logging Management</t>
  </si>
  <si>
    <t>ELK Stack、Fluentd、Loki、Splunk、Graylog、日志合规治理、实时分析</t>
  </si>
  <si>
    <t>域22</t>
  </si>
  <si>
    <t>镜像仓库管理</t>
  </si>
  <si>
    <t>Container Registry</t>
  </si>
  <si>
    <t>Harbor、Docker Registry、JFrog Artifactory、Quay、GitLab Registry、Amazon ECR</t>
  </si>
  <si>
    <t>域23</t>
  </si>
  <si>
    <t>GitOps与CI/CD</t>
  </si>
  <si>
    <t>GitOps &amp; CI/CD</t>
  </si>
  <si>
    <t>Argo CD、Jenkins、GitLab CI/CD、GitHub Actions</t>
  </si>
  <si>
    <t>域24</t>
  </si>
  <si>
    <t>基础设施即代码</t>
  </si>
  <si>
    <t>Infrastructure as Code</t>
  </si>
  <si>
    <t>Terraform、Ansible、Pulumi、Azure ARM、Crossplane</t>
  </si>
  <si>
    <t>域25</t>
  </si>
  <si>
    <t>云原生安全</t>
  </si>
  <si>
    <t>Cloud Native Security</t>
  </si>
  <si>
    <t>Falco、Sysdig、Aqua Security、Kyverno、HashiCorp Vault</t>
  </si>
  <si>
    <t>域26</t>
  </si>
  <si>
    <t>服务网格</t>
  </si>
  <si>
    <t>Service Mesh</t>
  </si>
  <si>
    <t>Istio、Linkerd、Consul Connect、Envoy Proxy、Dapr、Traefik Mesh</t>
  </si>
  <si>
    <t>域27</t>
  </si>
  <si>
    <t>多云混合云</t>
  </si>
  <si>
    <t>Multi-Cloud Hybrid</t>
  </si>
  <si>
    <t>AWS EKS多云、Azure AKS多云、GKE多云、IBM Cloud K8s、多云治理</t>
  </si>
  <si>
    <t>域28</t>
  </si>
  <si>
    <t>数据库中间件</t>
  </si>
  <si>
    <t>Database &amp; Middleware</t>
  </si>
  <si>
    <t>MySQL、PostgreSQL、分布式数据库、MongoDB、Redis</t>
  </si>
  <si>
    <t>域29</t>
  </si>
  <si>
    <t>自动化测试</t>
  </si>
  <si>
    <t>Automated Testing</t>
  </si>
  <si>
    <t>Selenium、JUnit5、AI测试、Cypress、Playwright</t>
  </si>
  <si>
    <t>域30</t>
  </si>
  <si>
    <t>灾备业务连续性</t>
  </si>
  <si>
    <t>Disaster Recovery</t>
  </si>
  <si>
    <t>VMware vSphere DR、Veeam备份、混沌工程灾备、Commvault、Rubrik</t>
  </si>
  <si>
    <t>域31</t>
  </si>
  <si>
    <t>硬件基础设施</t>
  </si>
  <si>
    <t>Hardware Infrastructure</t>
  </si>
  <si>
    <t>云硬件架构、服务器/CPU/内存/存储/网络技术、硬件故障排查、BIOS固件、错误代码参考</t>
  </si>
  <si>
    <t>专题资源</t>
  </si>
  <si>
    <t>专题</t>
  </si>
  <si>
    <t>运维词典</t>
  </si>
  <si>
    <t>Operations Dictionary</t>
  </si>
  <si>
    <t>运维最佳实践、故障模式分析、SRE成熟度模型、CLI命令、AI基础设施、安全合规、容量规划</t>
  </si>
  <si>
    <t>培训演示</t>
  </si>
  <si>
    <t>Presentations</t>
  </si>
  <si>
    <t>CoreDNS、Ingress、Service、Storage、Terway、Workload培训材料</t>
  </si>
  <si>
    <t>结构化故障排查</t>
  </si>
  <si>
    <t>Structural Troubleshooting</t>
  </si>
  <si>
    <t>控制平面排障、节点组件排障、网络排障、存储排障、工作负载排障、安全认证排障、AI/ML排障</t>
  </si>
  <si>
    <t>合计</t>
  </si>
  <si>
    <t>知识域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</si>
</sst>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5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1"/>
      <color rgb="FF1F4E7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kudig-database 知识点分布 (按知识域)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知识点分布饼图!$B$1</c:f>
              <c:strCache>
                <c:ptCount val="1"/>
                <c:pt idx="0">
                  <c:v>文档数量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3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4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5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6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7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8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9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2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3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4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5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6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7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8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9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2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3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4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5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6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7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8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9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3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3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32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33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0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知识点分布饼图!$A$2:$A$35</c:f>
              <c:strCache>
                <c:ptCount val="34"/>
                <c:pt idx="0">
                  <c:v>结构化故障排查</c:v>
                </c:pt>
                <c:pt idx="1">
                  <c:v>故障排查</c:v>
                </c:pt>
                <c:pt idx="2">
                  <c:v>网络</c:v>
                </c:pt>
                <c:pt idx="3">
                  <c:v>AI基础设施</c:v>
                </c:pt>
                <c:pt idx="4">
                  <c:v>控制平面</c:v>
                </c:pt>
                <c:pt idx="5">
                  <c:v>可观测性</c:v>
                </c:pt>
                <c:pt idx="6">
                  <c:v>平台运维</c:v>
                </c:pt>
                <c:pt idx="7">
                  <c:v>生产运维实践</c:v>
                </c:pt>
                <c:pt idx="8">
                  <c:v>工作负载与调度</c:v>
                </c:pt>
                <c:pt idx="9">
                  <c:v>云厂商K8s服务</c:v>
                </c:pt>
                <c:pt idx="10">
                  <c:v>安全合规</c:v>
                </c:pt>
                <c:pt idx="11">
                  <c:v>设计原理</c:v>
                </c:pt>
                <c:pt idx="12">
                  <c:v>硬件基础设施</c:v>
                </c:pt>
                <c:pt idx="13">
                  <c:v>架构基础</c:v>
                </c:pt>
                <c:pt idx="14">
                  <c:v>扩展生态</c:v>
                </c:pt>
                <c:pt idx="15">
                  <c:v>存储</c:v>
                </c:pt>
                <c:pt idx="16">
                  <c:v>技术白皮书</c:v>
                </c:pt>
                <c:pt idx="17">
                  <c:v>运维词典</c:v>
                </c:pt>
                <c:pt idx="18">
                  <c:v>Docker基础</c:v>
                </c:pt>
                <c:pt idx="19">
                  <c:v>Linux基础</c:v>
                </c:pt>
                <c:pt idx="20">
                  <c:v>企业监控告警</c:v>
                </c:pt>
                <c:pt idx="21">
                  <c:v>日志管理分析</c:v>
                </c:pt>
                <c:pt idx="22">
                  <c:v>镜像仓库管理</c:v>
                </c:pt>
                <c:pt idx="23">
                  <c:v>培训演示</c:v>
                </c:pt>
                <c:pt idx="24">
                  <c:v>网络基础</c:v>
                </c:pt>
                <c:pt idx="25">
                  <c:v>存储基础</c:v>
                </c:pt>
                <c:pt idx="26">
                  <c:v>服务网格</c:v>
                </c:pt>
                <c:pt idx="27">
                  <c:v>基础设施即代码</c:v>
                </c:pt>
                <c:pt idx="28">
                  <c:v>云原生安全</c:v>
                </c:pt>
                <c:pt idx="29">
                  <c:v>多云混合云</c:v>
                </c:pt>
                <c:pt idx="30">
                  <c:v>数据库中间件</c:v>
                </c:pt>
                <c:pt idx="31">
                  <c:v>自动化测试</c:v>
                </c:pt>
                <c:pt idx="32">
                  <c:v>灾备业务连续性</c:v>
                </c:pt>
                <c:pt idx="33">
                  <c:v>GitOps与CI/CD</c:v>
                </c:pt>
              </c:strCache>
            </c:strRef>
          </c:cat>
          <c:val>
            <c:numRef>
              <c:f>知识点分布饼图!$B$2:$B$35</c:f>
              <c:numCache>
                <c:formatCode>General</c:formatCode>
                <c:ptCount val="34"/>
                <c:pt idx="0">
                  <c:v>48</c:v>
                </c:pt>
                <c:pt idx="1">
                  <c:v>43</c:v>
                </c:pt>
                <c:pt idx="2">
                  <c:v>36</c:v>
                </c:pt>
                <c:pt idx="3">
                  <c:v>36</c:v>
                </c:pt>
                <c:pt idx="4">
                  <c:v>28</c:v>
                </c:pt>
                <c:pt idx="5">
                  <c:v>27</c:v>
                </c:pt>
                <c:pt idx="6">
                  <c:v>25</c:v>
                </c:pt>
                <c:pt idx="7">
                  <c:v>24</c:v>
                </c:pt>
                <c:pt idx="8">
                  <c:v>23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18</c:v>
                </c:pt>
                <c:pt idx="13">
                  <c:v>17</c:v>
                </c:pt>
                <c:pt idx="14">
                  <c:v>17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12</c:v>
                </c:pt>
                <c:pt idx="19">
                  <c:v>10</c:v>
                </c:pt>
                <c:pt idx="20">
                  <c:v>10</c:v>
                </c:pt>
                <c:pt idx="21">
                  <c:v>9</c:v>
                </c:pt>
                <c:pt idx="22">
                  <c:v>7</c:v>
                </c:pt>
                <c:pt idx="23">
                  <c:v>7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4</c:v>
                </c:pt>
              </c:numCache>
            </c:numRef>
          </c:val>
        </c:ser>
        <c:dLbls>
          <c:showLegendKey val="1"/>
          <c:showVal val="0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5b0439-494c-4ee2-a5fc-8c20afdbde21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kudig-database 知识点分布 (按分类)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知识点分布饼图!$B$38</c:f>
              <c:strCache>
                <c:ptCount val="1"/>
                <c:pt idx="0">
                  <c:v>文档数量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explosion val="0"/>
          <c:dPt>
            <c:idx val="0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1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2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Pt>
            <c:idx val="3"/>
            <c:bubble3D val="0"/>
            <c:spPr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strRef>
              <c:f>知识点分布饼图!$A$39:$A$42</c:f>
              <c:strCache>
                <c:ptCount val="4"/>
                <c:pt idx="0">
                  <c:v>核心知识域</c:v>
                </c:pt>
                <c:pt idx="1">
                  <c:v>企业级运维专题</c:v>
                </c:pt>
                <c:pt idx="2">
                  <c:v>专题资源</c:v>
                </c:pt>
                <c:pt idx="3">
                  <c:v>底层基础知识域</c:v>
                </c:pt>
              </c:strCache>
            </c:strRef>
          </c:cat>
          <c:val>
            <c:numRef>
              <c:f>知识点分布饼图!$B$39:$B$42</c:f>
              <c:numCache>
                <c:formatCode>General</c:formatCode>
                <c:ptCount val="4"/>
                <c:pt idx="0">
                  <c:v>307</c:v>
                </c:pt>
                <c:pt idx="1">
                  <c:v>124</c:v>
                </c:pt>
                <c:pt idx="2">
                  <c:v>71</c:v>
                </c:pt>
                <c:pt idx="3">
                  <c:v>57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5c65a0-f389-47a8-9c49-b14c87ddacb2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0</xdr:colOff>
      <xdr:row>1</xdr:row>
      <xdr:rowOff>0</xdr:rowOff>
    </xdr:from>
    <xdr:ext cx="10080000" cy="7257240"/>
    <xdr:graphicFrame>
      <xdr:nvGraphicFramePr>
        <xdr:cNvPr id="2" name="Chart 1"/>
        <xdr:cNvGraphicFramePr/>
      </xdr:nvGraphicFramePr>
      <xdr:xfrm>
        <a:off x="2971800" y="213360"/>
        <a:ext cx="10079990" cy="7256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287655</xdr:colOff>
      <xdr:row>42</xdr:row>
      <xdr:rowOff>180975</xdr:rowOff>
    </xdr:from>
    <xdr:ext cx="7920000" cy="6445800"/>
    <xdr:graphicFrame>
      <xdr:nvGraphicFramePr>
        <xdr:cNvPr id="3" name="Chart 2"/>
        <xdr:cNvGraphicFramePr/>
      </xdr:nvGraphicFramePr>
      <xdr:xfrm>
        <a:off x="3259455" y="9142095"/>
        <a:ext cx="7919720" cy="6445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workbookViewId="0">
      <selection activeCell="A2" sqref="A2"/>
    </sheetView>
  </sheetViews>
  <sheetFormatPr defaultColWidth="9" defaultRowHeight="16.8" outlineLevelCol="6"/>
  <cols>
    <col min="1" max="1" width="16" customWidth="1"/>
    <col min="2" max="2" width="12" customWidth="1"/>
    <col min="3" max="3" width="18" customWidth="1"/>
    <col min="4" max="4" width="28" customWidth="1"/>
    <col min="5" max="6" width="10" customWidth="1"/>
    <col min="7" max="7" width="106.567307692308" customWidth="1"/>
  </cols>
  <sheetData>
    <row r="1" ht="30" customHeight="1" spans="1: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ht="31" spans="1:7">
      <c r="A2" s="11" t="s">
        <v>7</v>
      </c>
      <c r="B2" s="12" t="s">
        <v>8</v>
      </c>
      <c r="C2" s="12" t="s">
        <v>9</v>
      </c>
      <c r="D2" s="12" t="s">
        <v>10</v>
      </c>
      <c r="E2" s="6">
        <v>17</v>
      </c>
      <c r="F2" s="7">
        <v>3</v>
      </c>
      <c r="G2" s="12" t="s">
        <v>11</v>
      </c>
    </row>
    <row r="3" ht="31" spans="1:7">
      <c r="A3" s="12" t="s">
        <v>7</v>
      </c>
      <c r="B3" s="12" t="s">
        <v>12</v>
      </c>
      <c r="C3" s="12" t="s">
        <v>13</v>
      </c>
      <c r="D3" s="12" t="s">
        <v>14</v>
      </c>
      <c r="E3" s="6">
        <v>18</v>
      </c>
      <c r="F3" s="7">
        <v>3.2</v>
      </c>
      <c r="G3" s="12" t="s">
        <v>15</v>
      </c>
    </row>
    <row r="4" ht="31" spans="1:7">
      <c r="A4" s="12" t="s">
        <v>7</v>
      </c>
      <c r="B4" s="12" t="s">
        <v>16</v>
      </c>
      <c r="C4" s="12" t="s">
        <v>17</v>
      </c>
      <c r="D4" s="12" t="s">
        <v>18</v>
      </c>
      <c r="E4" s="6">
        <v>28</v>
      </c>
      <c r="F4" s="7">
        <v>5</v>
      </c>
      <c r="G4" s="12" t="s">
        <v>19</v>
      </c>
    </row>
    <row r="5" ht="31" spans="1:7">
      <c r="A5" s="12" t="s">
        <v>7</v>
      </c>
      <c r="B5" s="12" t="s">
        <v>20</v>
      </c>
      <c r="C5" s="12" t="s">
        <v>21</v>
      </c>
      <c r="D5" s="12" t="s">
        <v>22</v>
      </c>
      <c r="E5" s="6">
        <v>23</v>
      </c>
      <c r="F5" s="7">
        <v>4.1</v>
      </c>
      <c r="G5" s="12" t="s">
        <v>23</v>
      </c>
    </row>
    <row r="6" ht="31" spans="1:7">
      <c r="A6" s="12" t="s">
        <v>7</v>
      </c>
      <c r="B6" s="12" t="s">
        <v>24</v>
      </c>
      <c r="C6" s="12" t="s">
        <v>25</v>
      </c>
      <c r="D6" s="12" t="s">
        <v>26</v>
      </c>
      <c r="E6" s="6">
        <v>36</v>
      </c>
      <c r="F6" s="7">
        <v>6.4</v>
      </c>
      <c r="G6" s="12" t="s">
        <v>27</v>
      </c>
    </row>
    <row r="7" ht="31" spans="1:7">
      <c r="A7" s="12" t="s">
        <v>7</v>
      </c>
      <c r="B7" s="12" t="s">
        <v>28</v>
      </c>
      <c r="C7" s="12" t="s">
        <v>29</v>
      </c>
      <c r="D7" s="12" t="s">
        <v>30</v>
      </c>
      <c r="E7" s="6">
        <v>16</v>
      </c>
      <c r="F7" s="7">
        <v>2.9</v>
      </c>
      <c r="G7" s="12" t="s">
        <v>31</v>
      </c>
    </row>
    <row r="8" ht="31" spans="1:7">
      <c r="A8" s="12" t="s">
        <v>7</v>
      </c>
      <c r="B8" s="12" t="s">
        <v>32</v>
      </c>
      <c r="C8" s="12" t="s">
        <v>33</v>
      </c>
      <c r="D8" s="12" t="s">
        <v>34</v>
      </c>
      <c r="E8" s="6">
        <v>21</v>
      </c>
      <c r="F8" s="7">
        <v>3.8</v>
      </c>
      <c r="G8" s="12" t="s">
        <v>35</v>
      </c>
    </row>
    <row r="9" ht="31" spans="1:7">
      <c r="A9" s="12" t="s">
        <v>7</v>
      </c>
      <c r="B9" s="12" t="s">
        <v>36</v>
      </c>
      <c r="C9" s="12" t="s">
        <v>37</v>
      </c>
      <c r="D9" s="12" t="s">
        <v>38</v>
      </c>
      <c r="E9" s="6">
        <v>27</v>
      </c>
      <c r="F9" s="7">
        <v>4.8</v>
      </c>
      <c r="G9" s="12" t="s">
        <v>39</v>
      </c>
    </row>
    <row r="10" ht="31" spans="1:7">
      <c r="A10" s="12" t="s">
        <v>7</v>
      </c>
      <c r="B10" s="12" t="s">
        <v>40</v>
      </c>
      <c r="C10" s="12" t="s">
        <v>41</v>
      </c>
      <c r="D10" s="12" t="s">
        <v>42</v>
      </c>
      <c r="E10" s="6">
        <v>25</v>
      </c>
      <c r="F10" s="7">
        <v>4.5</v>
      </c>
      <c r="G10" s="12" t="s">
        <v>43</v>
      </c>
    </row>
    <row r="11" ht="31" spans="1:7">
      <c r="A11" s="12" t="s">
        <v>7</v>
      </c>
      <c r="B11" s="12" t="s">
        <v>44</v>
      </c>
      <c r="C11" s="12" t="s">
        <v>45</v>
      </c>
      <c r="D11" s="12" t="s">
        <v>46</v>
      </c>
      <c r="E11" s="6">
        <v>17</v>
      </c>
      <c r="F11" s="7">
        <v>3</v>
      </c>
      <c r="G11" s="12" t="s">
        <v>47</v>
      </c>
    </row>
    <row r="12" ht="31" spans="1:7">
      <c r="A12" s="12" t="s">
        <v>7</v>
      </c>
      <c r="B12" s="12" t="s">
        <v>48</v>
      </c>
      <c r="C12" s="12" t="s">
        <v>49</v>
      </c>
      <c r="D12" s="12" t="s">
        <v>50</v>
      </c>
      <c r="E12" s="6">
        <v>36</v>
      </c>
      <c r="F12" s="7">
        <v>6.4</v>
      </c>
      <c r="G12" s="12" t="s">
        <v>51</v>
      </c>
    </row>
    <row r="13" ht="31" spans="1:7">
      <c r="A13" s="12" t="s">
        <v>7</v>
      </c>
      <c r="B13" s="12" t="s">
        <v>52</v>
      </c>
      <c r="C13" s="12" t="s">
        <v>53</v>
      </c>
      <c r="D13" s="12" t="s">
        <v>54</v>
      </c>
      <c r="E13" s="6">
        <v>43</v>
      </c>
      <c r="F13" s="7">
        <v>7.7</v>
      </c>
      <c r="G13" s="12" t="s">
        <v>55</v>
      </c>
    </row>
    <row r="14" ht="34" spans="1:7">
      <c r="A14" s="11" t="s">
        <v>56</v>
      </c>
      <c r="B14" s="12" t="s">
        <v>57</v>
      </c>
      <c r="C14" s="12" t="s">
        <v>58</v>
      </c>
      <c r="D14" s="12" t="s">
        <v>59</v>
      </c>
      <c r="E14" s="6">
        <v>12</v>
      </c>
      <c r="F14" s="7">
        <v>2.1</v>
      </c>
      <c r="G14" s="12" t="s">
        <v>60</v>
      </c>
    </row>
    <row r="15" ht="31" spans="1:7">
      <c r="A15" s="12" t="s">
        <v>56</v>
      </c>
      <c r="B15" s="12" t="s">
        <v>61</v>
      </c>
      <c r="C15" s="12" t="s">
        <v>62</v>
      </c>
      <c r="D15" s="12" t="s">
        <v>63</v>
      </c>
      <c r="E15" s="6">
        <v>10</v>
      </c>
      <c r="F15" s="7">
        <v>1.8</v>
      </c>
      <c r="G15" s="12" t="s">
        <v>64</v>
      </c>
    </row>
    <row r="16" spans="1:7">
      <c r="A16" s="12" t="s">
        <v>56</v>
      </c>
      <c r="B16" s="12" t="s">
        <v>65</v>
      </c>
      <c r="C16" s="12" t="s">
        <v>66</v>
      </c>
      <c r="D16" s="12" t="s">
        <v>67</v>
      </c>
      <c r="E16" s="6">
        <v>6</v>
      </c>
      <c r="F16" s="7">
        <v>1.1</v>
      </c>
      <c r="G16" s="12" t="s">
        <v>68</v>
      </c>
    </row>
    <row r="17" ht="31" spans="1:7">
      <c r="A17" s="12" t="s">
        <v>56</v>
      </c>
      <c r="B17" s="12" t="s">
        <v>69</v>
      </c>
      <c r="C17" s="12" t="s">
        <v>70</v>
      </c>
      <c r="D17" s="12" t="s">
        <v>71</v>
      </c>
      <c r="E17" s="6">
        <v>6</v>
      </c>
      <c r="F17" s="7">
        <v>1.1</v>
      </c>
      <c r="G17" s="12" t="s">
        <v>72</v>
      </c>
    </row>
    <row r="18" ht="31" spans="1:7">
      <c r="A18" s="12" t="s">
        <v>56</v>
      </c>
      <c r="B18" s="12" t="s">
        <v>73</v>
      </c>
      <c r="C18" s="12" t="s">
        <v>74</v>
      </c>
      <c r="D18" s="12" t="s">
        <v>75</v>
      </c>
      <c r="E18" s="6">
        <v>23</v>
      </c>
      <c r="F18" s="7">
        <v>4.1</v>
      </c>
      <c r="G18" s="12" t="s">
        <v>76</v>
      </c>
    </row>
    <row r="19" ht="34" spans="1:7">
      <c r="A19" s="11" t="s">
        <v>77</v>
      </c>
      <c r="B19" s="12" t="s">
        <v>78</v>
      </c>
      <c r="C19" s="12" t="s">
        <v>79</v>
      </c>
      <c r="D19" s="12" t="s">
        <v>80</v>
      </c>
      <c r="E19" s="6">
        <v>24</v>
      </c>
      <c r="F19" s="7">
        <v>4.3</v>
      </c>
      <c r="G19" s="12" t="s">
        <v>81</v>
      </c>
    </row>
    <row r="20" ht="31" spans="1:7">
      <c r="A20" s="12" t="s">
        <v>77</v>
      </c>
      <c r="B20" s="12" t="s">
        <v>82</v>
      </c>
      <c r="C20" s="12" t="s">
        <v>83</v>
      </c>
      <c r="D20" s="12" t="s">
        <v>84</v>
      </c>
      <c r="E20" s="6">
        <v>16</v>
      </c>
      <c r="F20" s="7">
        <v>2.9</v>
      </c>
      <c r="G20" s="12" t="s">
        <v>85</v>
      </c>
    </row>
    <row r="21" ht="31" spans="1:7">
      <c r="A21" s="12" t="s">
        <v>77</v>
      </c>
      <c r="B21" s="12" t="s">
        <v>86</v>
      </c>
      <c r="C21" s="12" t="s">
        <v>87</v>
      </c>
      <c r="D21" s="12" t="s">
        <v>88</v>
      </c>
      <c r="E21" s="6">
        <v>10</v>
      </c>
      <c r="F21" s="7">
        <v>1.8</v>
      </c>
      <c r="G21" s="12" t="s">
        <v>89</v>
      </c>
    </row>
    <row r="22" spans="1:7">
      <c r="A22" s="12" t="s">
        <v>77</v>
      </c>
      <c r="B22" s="12" t="s">
        <v>90</v>
      </c>
      <c r="C22" s="12" t="s">
        <v>91</v>
      </c>
      <c r="D22" s="12" t="s">
        <v>92</v>
      </c>
      <c r="E22" s="6">
        <v>9</v>
      </c>
      <c r="F22" s="7">
        <v>1.6</v>
      </c>
      <c r="G22" s="12" t="s">
        <v>93</v>
      </c>
    </row>
    <row r="23" ht="31" spans="1:7">
      <c r="A23" s="12" t="s">
        <v>77</v>
      </c>
      <c r="B23" s="12" t="s">
        <v>94</v>
      </c>
      <c r="C23" s="12" t="s">
        <v>95</v>
      </c>
      <c r="D23" s="12" t="s">
        <v>96</v>
      </c>
      <c r="E23" s="6">
        <v>7</v>
      </c>
      <c r="F23" s="7">
        <v>1.3</v>
      </c>
      <c r="G23" s="12" t="s">
        <v>97</v>
      </c>
    </row>
    <row r="24" spans="1:7">
      <c r="A24" s="12" t="s">
        <v>77</v>
      </c>
      <c r="B24" s="12" t="s">
        <v>98</v>
      </c>
      <c r="C24" s="12" t="s">
        <v>99</v>
      </c>
      <c r="D24" s="12" t="s">
        <v>100</v>
      </c>
      <c r="E24" s="6">
        <v>4</v>
      </c>
      <c r="F24" s="7">
        <v>0.7</v>
      </c>
      <c r="G24" s="12" t="s">
        <v>101</v>
      </c>
    </row>
    <row r="25" spans="1:7">
      <c r="A25" s="12" t="s">
        <v>77</v>
      </c>
      <c r="B25" s="12" t="s">
        <v>102</v>
      </c>
      <c r="C25" s="12" t="s">
        <v>103</v>
      </c>
      <c r="D25" s="12" t="s">
        <v>104</v>
      </c>
      <c r="E25" s="6">
        <v>5</v>
      </c>
      <c r="F25" s="7">
        <v>0.9</v>
      </c>
      <c r="G25" s="12" t="s">
        <v>105</v>
      </c>
    </row>
    <row r="26" spans="1:7">
      <c r="A26" s="12" t="s">
        <v>77</v>
      </c>
      <c r="B26" s="12" t="s">
        <v>106</v>
      </c>
      <c r="C26" s="12" t="s">
        <v>107</v>
      </c>
      <c r="D26" s="12" t="s">
        <v>108</v>
      </c>
      <c r="E26" s="6">
        <v>5</v>
      </c>
      <c r="F26" s="7">
        <v>0.9</v>
      </c>
      <c r="G26" s="12" t="s">
        <v>109</v>
      </c>
    </row>
    <row r="27" spans="1:7">
      <c r="A27" s="12" t="s">
        <v>77</v>
      </c>
      <c r="B27" s="12" t="s">
        <v>110</v>
      </c>
      <c r="C27" s="12" t="s">
        <v>111</v>
      </c>
      <c r="D27" s="12" t="s">
        <v>112</v>
      </c>
      <c r="E27" s="6">
        <v>6</v>
      </c>
      <c r="F27" s="7">
        <v>1.1</v>
      </c>
      <c r="G27" s="12" t="s">
        <v>113</v>
      </c>
    </row>
    <row r="28" spans="1:7">
      <c r="A28" s="12" t="s">
        <v>77</v>
      </c>
      <c r="B28" s="12" t="s">
        <v>114</v>
      </c>
      <c r="C28" s="12" t="s">
        <v>115</v>
      </c>
      <c r="D28" s="12" t="s">
        <v>116</v>
      </c>
      <c r="E28" s="6">
        <v>5</v>
      </c>
      <c r="F28" s="7">
        <v>0.9</v>
      </c>
      <c r="G28" s="12" t="s">
        <v>117</v>
      </c>
    </row>
    <row r="29" spans="1:7">
      <c r="A29" s="12" t="s">
        <v>77</v>
      </c>
      <c r="B29" s="12" t="s">
        <v>118</v>
      </c>
      <c r="C29" s="12" t="s">
        <v>119</v>
      </c>
      <c r="D29" s="12" t="s">
        <v>120</v>
      </c>
      <c r="E29" s="6">
        <v>5</v>
      </c>
      <c r="F29" s="7">
        <v>0.9</v>
      </c>
      <c r="G29" s="12" t="s">
        <v>121</v>
      </c>
    </row>
    <row r="30" spans="1:7">
      <c r="A30" s="12" t="s">
        <v>77</v>
      </c>
      <c r="B30" s="12" t="s">
        <v>122</v>
      </c>
      <c r="C30" s="12" t="s">
        <v>123</v>
      </c>
      <c r="D30" s="12" t="s">
        <v>124</v>
      </c>
      <c r="E30" s="6">
        <v>5</v>
      </c>
      <c r="F30" s="7">
        <v>0.9</v>
      </c>
      <c r="G30" s="12" t="s">
        <v>125</v>
      </c>
    </row>
    <row r="31" spans="1:7">
      <c r="A31" s="12" t="s">
        <v>77</v>
      </c>
      <c r="B31" s="12" t="s">
        <v>126</v>
      </c>
      <c r="C31" s="12" t="s">
        <v>127</v>
      </c>
      <c r="D31" s="12" t="s">
        <v>128</v>
      </c>
      <c r="E31" s="6">
        <v>5</v>
      </c>
      <c r="F31" s="7">
        <v>0.9</v>
      </c>
      <c r="G31" s="12" t="s">
        <v>129</v>
      </c>
    </row>
    <row r="32" ht="31" spans="1:7">
      <c r="A32" s="12" t="s">
        <v>77</v>
      </c>
      <c r="B32" s="12" t="s">
        <v>130</v>
      </c>
      <c r="C32" s="12" t="s">
        <v>131</v>
      </c>
      <c r="D32" s="12" t="s">
        <v>132</v>
      </c>
      <c r="E32" s="6">
        <v>18</v>
      </c>
      <c r="F32" s="7">
        <v>3.2</v>
      </c>
      <c r="G32" s="12" t="s">
        <v>133</v>
      </c>
    </row>
    <row r="33" ht="31" spans="1:7">
      <c r="A33" s="11" t="s">
        <v>134</v>
      </c>
      <c r="B33" s="12" t="s">
        <v>135</v>
      </c>
      <c r="C33" s="12" t="s">
        <v>136</v>
      </c>
      <c r="D33" s="12" t="s">
        <v>137</v>
      </c>
      <c r="E33" s="6">
        <v>16</v>
      </c>
      <c r="F33" s="7">
        <v>2.9</v>
      </c>
      <c r="G33" s="12" t="s">
        <v>138</v>
      </c>
    </row>
    <row r="34" spans="1:7">
      <c r="A34" s="12" t="s">
        <v>134</v>
      </c>
      <c r="B34" s="12" t="s">
        <v>135</v>
      </c>
      <c r="C34" s="12" t="s">
        <v>139</v>
      </c>
      <c r="D34" s="12" t="s">
        <v>140</v>
      </c>
      <c r="E34" s="6">
        <v>7</v>
      </c>
      <c r="F34" s="7">
        <v>1.3</v>
      </c>
      <c r="G34" s="12" t="s">
        <v>141</v>
      </c>
    </row>
    <row r="35" ht="31" spans="1:7">
      <c r="A35" s="12" t="s">
        <v>134</v>
      </c>
      <c r="B35" s="12" t="s">
        <v>135</v>
      </c>
      <c r="C35" s="12" t="s">
        <v>142</v>
      </c>
      <c r="D35" s="12" t="s">
        <v>143</v>
      </c>
      <c r="E35" s="6">
        <v>48</v>
      </c>
      <c r="F35" s="7">
        <v>8.6</v>
      </c>
      <c r="G35" s="12" t="s">
        <v>144</v>
      </c>
    </row>
    <row r="36" spans="1:7">
      <c r="A36" s="8" t="s">
        <v>145</v>
      </c>
      <c r="B36" s="8"/>
      <c r="C36" s="8"/>
      <c r="D36" s="8"/>
      <c r="E36" s="8">
        <f>SUM(E2:E35)</f>
        <v>559</v>
      </c>
      <c r="F36" s="9">
        <f>SUM(F2:F35)</f>
        <v>100.1</v>
      </c>
      <c r="G36" s="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6.8" outlineLevelRow="5" outlineLevelCol="2"/>
  <cols>
    <col min="1" max="1" width="20" customWidth="1"/>
    <col min="2" max="3" width="14" customWidth="1"/>
  </cols>
  <sheetData>
    <row r="1" spans="1:3">
      <c r="A1" s="4" t="s">
        <v>0</v>
      </c>
      <c r="B1" s="4" t="s">
        <v>4</v>
      </c>
      <c r="C1" s="4" t="s">
        <v>5</v>
      </c>
    </row>
    <row r="2" spans="1:3">
      <c r="A2" s="5" t="s">
        <v>7</v>
      </c>
      <c r="B2" s="6">
        <v>307</v>
      </c>
      <c r="C2" s="7">
        <v>54.9</v>
      </c>
    </row>
    <row r="3" spans="1:3">
      <c r="A3" s="5" t="s">
        <v>56</v>
      </c>
      <c r="B3" s="6">
        <v>57</v>
      </c>
      <c r="C3" s="7">
        <v>10.2</v>
      </c>
    </row>
    <row r="4" spans="1:3">
      <c r="A4" s="5" t="s">
        <v>77</v>
      </c>
      <c r="B4" s="6">
        <v>124</v>
      </c>
      <c r="C4" s="7">
        <v>22.2</v>
      </c>
    </row>
    <row r="5" spans="1:3">
      <c r="A5" s="5" t="s">
        <v>134</v>
      </c>
      <c r="B5" s="6">
        <v>71</v>
      </c>
      <c r="C5" s="7">
        <v>12.7</v>
      </c>
    </row>
    <row r="6" spans="1:3">
      <c r="A6" s="8" t="s">
        <v>145</v>
      </c>
      <c r="B6" s="8">
        <f>SUM(B2:B5)</f>
        <v>559</v>
      </c>
      <c r="C6" s="9">
        <f>SUM(C2:C5)</f>
        <v>100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tabSelected="1" topLeftCell="A3" workbookViewId="0">
      <selection activeCell="T41" sqref="T41"/>
    </sheetView>
  </sheetViews>
  <sheetFormatPr defaultColWidth="9" defaultRowHeight="16.8" outlineLevelCol="1"/>
  <cols>
    <col min="1" max="1" width="22" customWidth="1"/>
    <col min="2" max="2" width="14" customWidth="1"/>
  </cols>
  <sheetData>
    <row r="1" spans="1:2">
      <c r="A1" s="1" t="s">
        <v>146</v>
      </c>
      <c r="B1" s="1" t="s">
        <v>4</v>
      </c>
    </row>
    <row r="2" spans="1:2">
      <c r="A2" s="2" t="s">
        <v>142</v>
      </c>
      <c r="B2" s="3">
        <v>48</v>
      </c>
    </row>
    <row r="3" spans="1:2">
      <c r="A3" s="2" t="s">
        <v>53</v>
      </c>
      <c r="B3" s="3">
        <v>43</v>
      </c>
    </row>
    <row r="4" spans="1:2">
      <c r="A4" s="2" t="s">
        <v>25</v>
      </c>
      <c r="B4" s="3">
        <v>36</v>
      </c>
    </row>
    <row r="5" spans="1:2">
      <c r="A5" s="2" t="s">
        <v>49</v>
      </c>
      <c r="B5" s="3">
        <v>36</v>
      </c>
    </row>
    <row r="6" spans="1:2">
      <c r="A6" s="2" t="s">
        <v>17</v>
      </c>
      <c r="B6" s="3">
        <v>28</v>
      </c>
    </row>
    <row r="7" spans="1:2">
      <c r="A7" s="2" t="s">
        <v>37</v>
      </c>
      <c r="B7" s="3">
        <v>27</v>
      </c>
    </row>
    <row r="8" spans="1:2">
      <c r="A8" s="2" t="s">
        <v>41</v>
      </c>
      <c r="B8" s="3">
        <v>25</v>
      </c>
    </row>
    <row r="9" spans="1:2">
      <c r="A9" s="2" t="s">
        <v>79</v>
      </c>
      <c r="B9" s="3">
        <v>24</v>
      </c>
    </row>
    <row r="10" spans="1:2">
      <c r="A10" s="2" t="s">
        <v>21</v>
      </c>
      <c r="B10" s="3">
        <v>23</v>
      </c>
    </row>
    <row r="11" spans="1:2">
      <c r="A11" s="2" t="s">
        <v>74</v>
      </c>
      <c r="B11" s="3">
        <v>23</v>
      </c>
    </row>
    <row r="12" spans="1:2">
      <c r="A12" s="2" t="s">
        <v>33</v>
      </c>
      <c r="B12" s="3">
        <v>21</v>
      </c>
    </row>
    <row r="13" spans="1:2">
      <c r="A13" s="2" t="s">
        <v>13</v>
      </c>
      <c r="B13" s="3">
        <v>18</v>
      </c>
    </row>
    <row r="14" spans="1:2">
      <c r="A14" s="2" t="s">
        <v>131</v>
      </c>
      <c r="B14" s="3">
        <v>18</v>
      </c>
    </row>
    <row r="15" spans="1:2">
      <c r="A15" s="2" t="s">
        <v>9</v>
      </c>
      <c r="B15" s="3">
        <v>17</v>
      </c>
    </row>
    <row r="16" spans="1:2">
      <c r="A16" s="2" t="s">
        <v>45</v>
      </c>
      <c r="B16" s="3">
        <v>17</v>
      </c>
    </row>
    <row r="17" spans="1:2">
      <c r="A17" s="2" t="s">
        <v>29</v>
      </c>
      <c r="B17" s="3">
        <v>16</v>
      </c>
    </row>
    <row r="18" spans="1:2">
      <c r="A18" s="2" t="s">
        <v>83</v>
      </c>
      <c r="B18" s="3">
        <v>16</v>
      </c>
    </row>
    <row r="19" spans="1:2">
      <c r="A19" s="2" t="s">
        <v>136</v>
      </c>
      <c r="B19" s="3">
        <v>16</v>
      </c>
    </row>
    <row r="20" spans="1:2">
      <c r="A20" s="2" t="s">
        <v>58</v>
      </c>
      <c r="B20" s="3">
        <v>12</v>
      </c>
    </row>
    <row r="21" spans="1:2">
      <c r="A21" s="2" t="s">
        <v>62</v>
      </c>
      <c r="B21" s="3">
        <v>10</v>
      </c>
    </row>
    <row r="22" spans="1:2">
      <c r="A22" s="2" t="s">
        <v>87</v>
      </c>
      <c r="B22" s="3">
        <v>10</v>
      </c>
    </row>
    <row r="23" spans="1:2">
      <c r="A23" s="2" t="s">
        <v>91</v>
      </c>
      <c r="B23" s="3">
        <v>9</v>
      </c>
    </row>
    <row r="24" spans="1:2">
      <c r="A24" s="2" t="s">
        <v>95</v>
      </c>
      <c r="B24" s="3">
        <v>7</v>
      </c>
    </row>
    <row r="25" spans="1:2">
      <c r="A25" s="2" t="s">
        <v>139</v>
      </c>
      <c r="B25" s="3">
        <v>7</v>
      </c>
    </row>
    <row r="26" spans="1:2">
      <c r="A26" s="2" t="s">
        <v>66</v>
      </c>
      <c r="B26" s="3">
        <v>6</v>
      </c>
    </row>
    <row r="27" spans="1:2">
      <c r="A27" s="2" t="s">
        <v>70</v>
      </c>
      <c r="B27" s="3">
        <v>6</v>
      </c>
    </row>
    <row r="28" spans="1:2">
      <c r="A28" s="2" t="s">
        <v>111</v>
      </c>
      <c r="B28" s="3">
        <v>6</v>
      </c>
    </row>
    <row r="29" spans="1:2">
      <c r="A29" s="2" t="s">
        <v>103</v>
      </c>
      <c r="B29" s="3">
        <v>5</v>
      </c>
    </row>
    <row r="30" spans="1:2">
      <c r="A30" s="2" t="s">
        <v>107</v>
      </c>
      <c r="B30" s="3">
        <v>5</v>
      </c>
    </row>
    <row r="31" spans="1:2">
      <c r="A31" s="2" t="s">
        <v>115</v>
      </c>
      <c r="B31" s="3">
        <v>5</v>
      </c>
    </row>
    <row r="32" spans="1:2">
      <c r="A32" s="2" t="s">
        <v>119</v>
      </c>
      <c r="B32" s="3">
        <v>5</v>
      </c>
    </row>
    <row r="33" spans="1:2">
      <c r="A33" s="2" t="s">
        <v>123</v>
      </c>
      <c r="B33" s="3">
        <v>5</v>
      </c>
    </row>
    <row r="34" spans="1:2">
      <c r="A34" s="2" t="s">
        <v>127</v>
      </c>
      <c r="B34" s="3">
        <v>5</v>
      </c>
    </row>
    <row r="35" spans="1:2">
      <c r="A35" s="2" t="s">
        <v>99</v>
      </c>
      <c r="B35" s="3">
        <v>4</v>
      </c>
    </row>
    <row r="38" spans="1:2">
      <c r="A38" s="1" t="s">
        <v>0</v>
      </c>
      <c r="B38" s="1" t="s">
        <v>4</v>
      </c>
    </row>
    <row r="39" spans="1:2">
      <c r="A39" s="2" t="s">
        <v>7</v>
      </c>
      <c r="B39" s="3">
        <v>307</v>
      </c>
    </row>
    <row r="40" spans="1:2">
      <c r="A40" s="2" t="s">
        <v>77</v>
      </c>
      <c r="B40" s="3">
        <v>124</v>
      </c>
    </row>
    <row r="41" spans="1:2">
      <c r="A41" s="2" t="s">
        <v>134</v>
      </c>
      <c r="B41" s="3">
        <v>71</v>
      </c>
    </row>
    <row r="42" spans="1:2">
      <c r="A42" s="2" t="s">
        <v>56</v>
      </c>
      <c r="B42" s="3">
        <v>57</v>
      </c>
    </row>
  </sheetData>
  <sortState ref="A39:B42">
    <sortCondition ref="B39" descending="1"/>
  </sortState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知识点分布总览</vt:lpstr>
      <vt:lpstr>分类汇总</vt:lpstr>
      <vt:lpstr>知识点分布饼图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法喜</cp:lastModifiedBy>
  <dcterms:created xsi:type="dcterms:W3CDTF">2026-02-09T12:20:00Z</dcterms:created>
  <dcterms:modified xsi:type="dcterms:W3CDTF">2026-02-09T12:28:50Z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41E1CADF5A1A9E4780628969A595F677_42</vt:lpwstr>
  </property>
  <property fmtid="{D5CDD505-2E9C-101B-9397-08002B2CF9AE}" pid="3" name="KSOProductBuildVer">
    <vt:lpwstr>2052-12.1.25195.25195</vt:lpwstr>
  </property>
  <property fmtid="{D5CDD505-2E9C-101B-9397-08002B2CF9AE}" pid="4" name="CalculationRule">
    <vt:i4>0</vt:i4>
  </property>
</Properties>
</file>